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artment_Inventory" sheetId="1" state="visible" r:id="rId1"/>
    <sheet xmlns:r="http://schemas.openxmlformats.org/officeDocument/2006/relationships" name="Instructions_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A1" authorId="0" shapeId="0">
      <text>
        <t>Building number/name</t>
      </text>
    </comment>
    <comment ref="B1" authorId="0" shapeId="0">
      <text>
        <t>Floor number (0=קרקע, -1=basement)</t>
      </text>
    </comment>
    <comment ref="C1" authorId="0" shapeId="0">
      <text>
        <t>Unit sequence number</t>
      </text>
    </comment>
    <comment ref="D1" authorId="0" shapeId="0">
      <text>
        <t>Unit ID by plan</t>
      </text>
    </comment>
    <comment ref="E1" authorId="0" shapeId="0">
      <text>
        <t>Unit direction (e.g., צפ'-מע')</t>
      </text>
    </comment>
    <comment ref="F1" authorId="0" shapeId="0">
      <text>
        <t>e.g., 5 חד', גן 4 חד', פנט'</t>
      </text>
    </comment>
    <comment ref="G1" authorId="0" shapeId="0">
      <text>
        <t>Number of rooms (numeric)</t>
      </text>
    </comment>
    <comment ref="H1" authorId="0" shapeId="0">
      <text>
        <t>Main unit area in sqm</t>
      </text>
    </comment>
    <comment ref="I1" authorId="0" shapeId="0">
      <text>
        <t>Balcony area</t>
      </text>
    </comment>
    <comment ref="J1" authorId="0" shapeId="0">
      <text>
        <t>Garden or roof terrace</t>
      </text>
    </comment>
    <comment ref="K1" authorId="0" shapeId="0">
      <text>
        <t>Storage area</t>
      </text>
    </comment>
    <comment ref="L1" authorId="0" shapeId="0">
      <text>
        <t>Number of parking spaces</t>
      </text>
    </comment>
    <comment ref="M1" authorId="0" shapeId="0">
      <text>
        <t>Base price per sqm</t>
      </text>
    </comment>
    <comment ref="N1" authorId="0" shapeId="0">
      <text>
        <t>Addition per floor</t>
      </text>
    </comment>
    <comment ref="O1" authorId="0" shapeId="0">
      <text>
        <t>Planning adjustment</t>
      </text>
    </comment>
    <comment ref="P1" authorId="0" shapeId="0">
      <text>
        <t>Facade addition</t>
      </text>
    </comment>
    <comment ref="Q1" authorId="0" shapeId="0">
      <text>
        <t>CALCULATED: Equivalent area</t>
      </text>
    </comment>
    <comment ref="R1" authorId="0" shapeId="0">
      <text>
        <t>CALCULATED: Final price per sqm</t>
      </text>
    </comment>
    <comment ref="S1" authorId="0" shapeId="0">
      <text>
        <t>CALCULATED: Total without VAT</t>
      </text>
    </comment>
    <comment ref="T1" authorId="0" shapeId="0">
      <text>
        <t>VAT rate (default 17%)</t>
      </text>
    </comment>
    <comment ref="U1" authorId="0" shapeId="0">
      <text>
        <t>CALCULATED: Total with VAT</t>
      </text>
    </comment>
    <comment ref="V1" authorId="0" shapeId="0">
      <text>
        <t>Available/Reserved/Sold</t>
      </text>
    </comment>
    <comment ref="W1" authorId="0" shapeId="0">
      <text>
        <t>Buyer name</t>
      </text>
    </comment>
    <comment ref="X1" authorId="0" shapeId="0">
      <text>
        <t>Buyer ID number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Building
בניין</t>
        </is>
      </c>
      <c r="B1" s="1" t="inlineStr">
        <is>
          <t>Floor
קומה</t>
        </is>
      </c>
      <c r="C1" s="1" t="inlineStr">
        <is>
          <t>Unit #
מס"ד</t>
        </is>
      </c>
      <c r="D1" s="1" t="inlineStr">
        <is>
          <t>Unit ID
מס' יחידה</t>
        </is>
      </c>
      <c r="E1" s="1" t="inlineStr">
        <is>
          <t>Direction
כיוון</t>
        </is>
      </c>
      <c r="F1" s="1" t="inlineStr">
        <is>
          <t>Room Type
סוג יחידה</t>
        </is>
      </c>
      <c r="G1" s="1" t="inlineStr">
        <is>
          <t>Rooms
מס' חדרים</t>
        </is>
      </c>
      <c r="H1" s="1" t="inlineStr">
        <is>
          <t>Unit Area (sqm)
שטח פלדלת</t>
        </is>
      </c>
      <c r="I1" s="1" t="inlineStr">
        <is>
          <t>Balcony (sqm)
מרפסת שמש</t>
        </is>
      </c>
      <c r="J1" s="1" t="inlineStr">
        <is>
          <t>Garden/Roof (sqm)
מרפסת גג/חצר</t>
        </is>
      </c>
      <c r="K1" s="1" t="inlineStr">
        <is>
          <t>Storage (sqm)
מחסן</t>
        </is>
      </c>
      <c r="L1" s="1" t="inlineStr">
        <is>
          <t>Parking
חניות</t>
        </is>
      </c>
      <c r="M1" s="1" t="inlineStr">
        <is>
          <t>Base Price/sqm
מחיר בסיס למ"ר</t>
        </is>
      </c>
      <c r="N1" s="1" t="inlineStr">
        <is>
          <t>Floor Addition
תוספת לקומה</t>
        </is>
      </c>
      <c r="O1" s="1" t="inlineStr">
        <is>
          <t>Planning Adj.
התאמה לתכנון</t>
        </is>
      </c>
      <c r="P1" s="1" t="inlineStr">
        <is>
          <t>Facade Addition
תוספת חזית</t>
        </is>
      </c>
      <c r="Q1" s="1" t="inlineStr">
        <is>
          <t>Total Equiv Area
סה"כ שטח אקוו'</t>
        </is>
      </c>
      <c r="R1" s="1" t="inlineStr">
        <is>
          <t>Final Price/sqm
מחיר סופי למ"ר</t>
        </is>
      </c>
      <c r="S1" s="1" t="inlineStr">
        <is>
          <t>Total NO VAT
סה"כ ללא מע"ם</t>
        </is>
      </c>
      <c r="T1" s="1" t="inlineStr">
        <is>
          <t>VAT Rate
שיעור מע"מ</t>
        </is>
      </c>
      <c r="U1" s="1" t="inlineStr">
        <is>
          <t>Total WITH VAT
סה"כ כולל מע"מ</t>
        </is>
      </c>
      <c r="V1" s="1" t="inlineStr">
        <is>
          <t>Status
סטטוס</t>
        </is>
      </c>
      <c r="W1" s="1" t="inlineStr">
        <is>
          <t>Customer Name
שם לקוח</t>
        </is>
      </c>
      <c r="X1" s="1" t="inlineStr">
        <is>
          <t>Customer ID
ת.ז. לקוח</t>
        </is>
      </c>
    </row>
    <row r="2">
      <c r="A2" t="inlineStr">
        <is>
          <t>A</t>
        </is>
      </c>
      <c r="B2" t="inlineStr">
        <is>
          <t>קרקע</t>
        </is>
      </c>
      <c r="C2" t="n">
        <v>1</v>
      </c>
      <c r="D2" t="n">
        <v>1</v>
      </c>
      <c r="E2" t="inlineStr">
        <is>
          <t>צפ'-מע'</t>
        </is>
      </c>
      <c r="F2" t="inlineStr">
        <is>
          <t>גן 4 חד'</t>
        </is>
      </c>
      <c r="G2" t="n">
        <v>4</v>
      </c>
      <c r="H2" t="n">
        <v>102.5</v>
      </c>
      <c r="I2" t="n">
        <v>0</v>
      </c>
      <c r="J2" t="n">
        <v>111.84</v>
      </c>
      <c r="K2" t="n">
        <v>0</v>
      </c>
      <c r="L2" t="n">
        <v>1</v>
      </c>
      <c r="M2" t="n">
        <v>32000</v>
      </c>
      <c r="N2" t="n">
        <v>0</v>
      </c>
      <c r="O2" t="n">
        <v>0</v>
      </c>
      <c r="P2" t="n">
        <v>0</v>
      </c>
      <c r="Q2" s="2">
        <f>H2+(I2*0.25)+(J2*0.35)+K2</f>
        <v/>
      </c>
      <c r="R2" s="2">
        <f>M2+N2+O2+P2</f>
        <v/>
      </c>
      <c r="S2" s="2">
        <f>Q2*R2</f>
        <v/>
      </c>
      <c r="T2" t="n">
        <v>0.17</v>
      </c>
      <c r="U2" s="2">
        <f>S2*(1+T2)</f>
        <v/>
      </c>
      <c r="V2" t="inlineStr">
        <is>
          <t>Available</t>
        </is>
      </c>
      <c r="W2" t="inlineStr"/>
      <c r="X2" t="inlineStr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4">
        <f>H3+(I3*0.25)+(J3*0.35)+K3</f>
        <v/>
      </c>
      <c r="R3" s="4">
        <f>M3+N3+O3+P3</f>
        <v/>
      </c>
      <c r="S3" s="4">
        <f>Q3*R3</f>
        <v/>
      </c>
      <c r="T3" s="3" t="n">
        <v>0.17</v>
      </c>
      <c r="U3" s="4">
        <f>S3*(1+T3)</f>
        <v/>
      </c>
      <c r="V3" s="3" t="n"/>
      <c r="W3" s="3" t="n"/>
      <c r="X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4">
        <f>H4+(I4*0.25)+(J4*0.35)+K4</f>
        <v/>
      </c>
      <c r="R4" s="4">
        <f>M4+N4+O4+P4</f>
        <v/>
      </c>
      <c r="S4" s="4">
        <f>Q4*R4</f>
        <v/>
      </c>
      <c r="T4" s="3" t="n">
        <v>0.17</v>
      </c>
      <c r="U4" s="4">
        <f>S4*(1+T4)</f>
        <v/>
      </c>
      <c r="V4" s="3" t="n"/>
      <c r="W4" s="3" t="n"/>
      <c r="X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4">
        <f>H5+(I5*0.25)+(J5*0.35)+K5</f>
        <v/>
      </c>
      <c r="R5" s="4">
        <f>M5+N5+O5+P5</f>
        <v/>
      </c>
      <c r="S5" s="4">
        <f>Q5*R5</f>
        <v/>
      </c>
      <c r="T5" s="3" t="n">
        <v>0.17</v>
      </c>
      <c r="U5" s="4">
        <f>S5*(1+T5)</f>
        <v/>
      </c>
      <c r="V5" s="3" t="n"/>
      <c r="W5" s="3" t="n"/>
      <c r="X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4">
        <f>H6+(I6*0.25)+(J6*0.35)+K6</f>
        <v/>
      </c>
      <c r="R6" s="4">
        <f>M6+N6+O6+P6</f>
        <v/>
      </c>
      <c r="S6" s="4">
        <f>Q6*R6</f>
        <v/>
      </c>
      <c r="T6" s="3" t="n">
        <v>0.17</v>
      </c>
      <c r="U6" s="4">
        <f>S6*(1+T6)</f>
        <v/>
      </c>
      <c r="V6" s="3" t="n"/>
      <c r="W6" s="3" t="n"/>
      <c r="X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4">
        <f>H7+(I7*0.25)+(J7*0.35)+K7</f>
        <v/>
      </c>
      <c r="R7" s="4">
        <f>M7+N7+O7+P7</f>
        <v/>
      </c>
      <c r="S7" s="4">
        <f>Q7*R7</f>
        <v/>
      </c>
      <c r="T7" s="3" t="n">
        <v>0.17</v>
      </c>
      <c r="U7" s="4">
        <f>S7*(1+T7)</f>
        <v/>
      </c>
      <c r="V7" s="3" t="n"/>
      <c r="W7" s="3" t="n"/>
      <c r="X7" s="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5" t="inlineStr">
        <is>
          <t>APARTMENT INVENTORY UPLOAD TEMPLATE</t>
        </is>
      </c>
      <c r="B1" s="5" t="inlineStr">
        <is>
          <t>תבנית להעלאת מלאי דירות</t>
        </is>
      </c>
    </row>
    <row r="2">
      <c r="A2" t="inlineStr"/>
      <c r="B2" t="inlineStr"/>
    </row>
    <row r="3">
      <c r="A3" s="5" t="inlineStr">
        <is>
          <t>INSTRUCTIONS:</t>
        </is>
      </c>
      <c r="B3" s="5" t="inlineStr">
        <is>
          <t>הוראות שימוש:</t>
        </is>
      </c>
    </row>
    <row r="4">
      <c r="A4" t="inlineStr"/>
      <c r="B4" t="inlineStr"/>
    </row>
    <row r="5">
      <c r="A5" t="inlineStr">
        <is>
          <t>1. Fill in the apartment details in the 'Apartment_Inventory' sheet</t>
        </is>
      </c>
      <c r="B5" t="inlineStr">
        <is>
          <t>1. מלא את פרטי הדירות בגליון 'Apartment_Inventory'</t>
        </is>
      </c>
    </row>
    <row r="6">
      <c r="A6" t="inlineStr">
        <is>
          <t>2. Columns with gray background contain FORMULAS - do not edit</t>
        </is>
      </c>
      <c r="B6" t="inlineStr">
        <is>
          <t>2. עמודות עם רקע אפור מכילות נוסחאות - אל תערוך</t>
        </is>
      </c>
    </row>
    <row r="7">
      <c r="A7" t="inlineStr">
        <is>
          <t>3. Required fields: Building, Floor, Unit #, Room Type, Unit Area, Base Price/sqm</t>
        </is>
      </c>
      <c r="B7" t="inlineStr">
        <is>
          <t>3. שדות חובה: בניין, קומה, מס' יחידה, סוג יחידה, שטח, מחיר בסיס</t>
        </is>
      </c>
    </row>
    <row r="8">
      <c r="A8" t="inlineStr">
        <is>
          <t>4. Save the file and upload to the system</t>
        </is>
      </c>
      <c r="B8" t="inlineStr">
        <is>
          <t>4. שמור את הקובץ והעלה למערכת</t>
        </is>
      </c>
    </row>
    <row r="9">
      <c r="A9" t="inlineStr"/>
      <c r="B9" t="inlineStr"/>
    </row>
    <row r="10">
      <c r="A10" s="5" t="inlineStr">
        <is>
          <t>FORMULAS:</t>
        </is>
      </c>
      <c r="B10" s="5" t="inlineStr">
        <is>
          <t>נוסחאות:</t>
        </is>
      </c>
    </row>
    <row r="11">
      <c r="A11" t="inlineStr"/>
      <c r="B11" t="inlineStr"/>
    </row>
    <row r="12">
      <c r="A12" t="inlineStr">
        <is>
          <t>Total Equiv Area = Unit Area + (Balcony × 0.25) + (Garden × 0.35) + Storage</t>
        </is>
      </c>
      <c r="B12" t="inlineStr">
        <is>
          <t>שטח אקוויולנטי = שטח יחידה + (מרפסת × 0.25) + (גג/חצר × 0.35) + מחסן</t>
        </is>
      </c>
    </row>
    <row r="13">
      <c r="A13" t="inlineStr">
        <is>
          <t>Final Price/sqm = Base Price + Floor Addition + Planning Adj + Facade Addition</t>
        </is>
      </c>
      <c r="B13" t="inlineStr">
        <is>
          <t>מחיר סופי למ"ר = מחיר בסיס + תוספת קומה + התאמה + תוספת חזית</t>
        </is>
      </c>
    </row>
    <row r="14">
      <c r="A14" t="inlineStr">
        <is>
          <t>Total NO VAT = Total Equiv Area × Final Price/sqm</t>
        </is>
      </c>
      <c r="B14" t="inlineStr">
        <is>
          <t>סה"כ ללא מע"מ = שטח אקוויולנטי × מחיר סופי למ"ר</t>
        </is>
      </c>
    </row>
    <row r="15">
      <c r="A15" t="inlineStr">
        <is>
          <t>Total WITH VAT = Total NO VAT × (1 + VAT Rate)</t>
        </is>
      </c>
      <c r="B15" t="inlineStr">
        <is>
          <t>סה"כ כולל מע"מ = סה"כ ללא מע"מ × (1 + שיעור מע"מ)</t>
        </is>
      </c>
    </row>
    <row r="16">
      <c r="A16" s="5" t="inlineStr"/>
      <c r="B16" s="5" t="inlineStr"/>
    </row>
    <row r="17">
      <c r="A17" t="inlineStr">
        <is>
          <t>STATUS VALUES:</t>
        </is>
      </c>
      <c r="B17" t="inlineStr">
        <is>
          <t>ערכי סטטוס:</t>
        </is>
      </c>
    </row>
    <row r="18">
      <c r="A18" t="inlineStr">
        <is>
          <t>Available, Reserved, Sold, Owner, Unavailable, Rented</t>
        </is>
      </c>
      <c r="B18" t="inlineStr">
        <is>
          <t>זמין, שמור, נמכר, בעלים, לא זמין, מושכר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2025-11-09T11:09:32Z</dcterms:created>
  <dcterms:modified xmlns:dcterms="http://purl.org/dc/terms/" xmlns:xsi="http://www.w3.org/2001/XMLSchema-instance" xsi:type="dcterms:W3CDTF">2025-11-09T11:09:32Z</dcterms:modified>
</cp:coreProperties>
</file>